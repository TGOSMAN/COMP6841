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Repositories\COMP6841\Project_SomethingAwesome\Project\outputs\requirements\"/>
    </mc:Choice>
  </mc:AlternateContent>
  <xr:revisionPtr revIDLastSave="0" documentId="13_ncr:1_{0CE66D56-5B53-4A58-89D3-0CC71295BD5B}" xr6:coauthVersionLast="47" xr6:coauthVersionMax="47" xr10:uidLastSave="{00000000-0000-0000-0000-000000000000}"/>
  <bookViews>
    <workbookView xWindow="40930" yWindow="10510" windowWidth="28800" windowHeight="7040" xr2:uid="{00000000-000D-0000-FFFF-FFFF00000000}"/>
  </bookViews>
  <sheets>
    <sheet name="Requirements Matrix" sheetId="1" r:id="rId1"/>
    <sheet name="Coverage Summary" sheetId="2" r:id="rId2"/>
    <sheet name="Evidence Inde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</calcChain>
</file>

<file path=xl/sharedStrings.xml><?xml version="1.0" encoding="utf-8"?>
<sst xmlns="http://schemas.openxmlformats.org/spreadsheetml/2006/main" count="330" uniqueCount="262">
  <si>
    <t>Signal Forge CTF Requirements and Evidence Matrix</t>
  </si>
  <si>
    <t>Generated from the planning document and current implementation. RF capture JSON is treated as generated output from radio/profiles/training_signals.json.</t>
  </si>
  <si>
    <t>Group</t>
  </si>
  <si>
    <t>Req ID</t>
  </si>
  <si>
    <t>Requirement</t>
  </si>
  <si>
    <t>Description</t>
  </si>
  <si>
    <t>Status</t>
  </si>
  <si>
    <t>Evidence</t>
  </si>
  <si>
    <t>Evidence Location</t>
  </si>
  <si>
    <t>Planning Source</t>
  </si>
  <si>
    <t>Next Evidence / Work</t>
  </si>
  <si>
    <t>Safety and Ethics</t>
  </si>
  <si>
    <t>SAFE-01</t>
  </si>
  <si>
    <t>Mandatory ethics statement</t>
  </si>
  <si>
    <t>The site must clearly state that the CTF is for defensive awareness and does not condone illegal radio misuse.</t>
  </si>
  <si>
    <t>Implemented</t>
  </si>
  <si>
    <t>Homepage Safety and intent panel</t>
  </si>
  <si>
    <t>index.html#safety</t>
  </si>
  <si>
    <t>User planning DOCX: explicit safety statement requirement</t>
  </si>
  <si>
    <t>Keep the statement visible in report exports.</t>
  </si>
  <si>
    <t>SAFE-02</t>
  </si>
  <si>
    <t>Sim-first, receive-only assessment</t>
  </si>
  <si>
    <t>Assessed activities must avoid live transmission and use local synthetic targets.</t>
  </si>
  <si>
    <t>Hero copy, GNU Radio docs, local TX chain labels</t>
  </si>
  <si>
    <t>index.html; docs/gnu-radio-workflow.md; challenge.html</t>
  </si>
  <si>
    <t>Planning DOCX: no SDR required and avoid transmit workflows</t>
  </si>
  <si>
    <t>Add a per-challenge safety footer before final release.</t>
  </si>
  <si>
    <t>Challenge Structure</t>
  </si>
  <si>
    <t>STRUCT-01</t>
  </si>
  <si>
    <t>Four-level learning ladder</t>
  </si>
  <si>
    <t>The project should be organised into Basic, Moderate, Advanced, and Expert concepts.</t>
  </si>
  <si>
    <t>Homepage learning arc with four concept cards</t>
  </si>
  <si>
    <t>index.html#blueprint</t>
  </si>
  <si>
    <t>Planning DOCX: Basic, Moderate, Advanced, Expert sections</t>
  </si>
  <si>
    <t>Add progress indicators per level later.</t>
  </si>
  <si>
    <t>STRUCT-02</t>
  </si>
  <si>
    <t>Civilian contexts</t>
  </si>
  <si>
    <t>Scenarios should prefer civilian infrastructure rather than military framing.</t>
  </si>
  <si>
    <t>Tunnel signs, radio metadata, council audio, farm gate, city notice API</t>
  </si>
  <si>
    <t>data/challenges.json; server.py</t>
  </si>
  <si>
    <t>Planning DOCX: avoid military framing and use civilian contexts</t>
  </si>
  <si>
    <t>Review all future artifact names for the same rule.</t>
  </si>
  <si>
    <t>STRUCT-03</t>
  </si>
  <si>
    <t>Small step challenge format</t>
  </si>
  <si>
    <t>Each module should expose concrete subtasks and hints rather than single large leaps.</t>
  </si>
  <si>
    <t>Each challenge has steps, hints, concepts, objective, and artifacts</t>
  </si>
  <si>
    <t>data/challenges.json; challenge.js</t>
  </si>
  <si>
    <t>Planning DOCX: each context has three to four sub-challenges</t>
  </si>
  <si>
    <t>Split large future contexts into separate subpages.</t>
  </si>
  <si>
    <t>GNU Radio Data Source</t>
  </si>
  <si>
    <t>GR-01</t>
  </si>
  <si>
    <t>RF profiles as source of truth</t>
  </si>
  <si>
    <t>Signal data should stem from editable radio profiles, not hand-authored browser JSON.</t>
  </si>
  <si>
    <t>Profile file drives generated captures</t>
  </si>
  <si>
    <t>radio/profiles/training_signals.json</t>
  </si>
  <si>
    <t>User correction: data should stem from a GNU Radio script</t>
  </si>
  <si>
    <t>Add GRC-generated top_block files per profile.</t>
  </si>
  <si>
    <t>GR-02</t>
  </si>
  <si>
    <t>Generator script</t>
  </si>
  <si>
    <t>A repeatable script should export browser capture JSON and optional SigMF IQ artifacts.</t>
  </si>
  <si>
    <t>Generator emits captures/*.json, *.sigmf-meta, and *.sigmf-data</t>
  </si>
  <si>
    <t>radio/generate_gnuradio_artifacts.py</t>
  </si>
  <si>
    <t>Planning DOCX: GNU Radio projects export signalling data</t>
  </si>
  <si>
    <t>Move deterministic fallback behind real GNU Radio blocks when WSL is ready.</t>
  </si>
  <si>
    <t>GR-03</t>
  </si>
  <si>
    <t>Generated provenance</t>
  </si>
  <si>
    <t>Capture artifacts should record the generator and source profile used to build them.</t>
  </si>
  <si>
    <t>generated_by and source_profile fields in generated captures</t>
  </si>
  <si>
    <t>captures/02-fsk-hop-scheme.json; captures/15-air-weather-voice.json</t>
  </si>
  <si>
    <t>Traceability requirement for evidence</t>
  </si>
  <si>
    <t>Add checksum manifest for generated artifacts.</t>
  </si>
  <si>
    <t>GR-04</t>
  </si>
  <si>
    <t>Waveform downloads</t>
  </si>
  <si>
    <t>Waveform time-series data should be downloadable for external analysis.</t>
  </si>
  <si>
    <t>Partially Implemented</t>
  </si>
  <si>
    <t>Small SigMF preview files are generated for the current profiles</t>
  </si>
  <si>
    <t>captures/*.sigmf-data; captures/*.sigmf-meta</t>
  </si>
  <si>
    <t>Planning DOCX: waveform time-series downloadable</t>
  </si>
  <si>
    <t>Expose generated SigMF links on every relevant challenge card.</t>
  </si>
  <si>
    <t>Instrument Workbench</t>
  </si>
  <si>
    <t>UI-01</t>
  </si>
  <si>
    <t>Waterfall and spectrum views</t>
  </si>
  <si>
    <t>The UI should look closer to spectrum/signal analysis tools than a decorative demo.</t>
  </si>
  <si>
    <t>Waterfall, spectrum trace, RBW/readouts, cursors, tuning and gain controls</t>
  </si>
  <si>
    <t>challenge.html; challenge.js; styles.css</t>
  </si>
  <si>
    <t>Planning DOCX: spectrum analyser, oscilloscope, logic analyser quality</t>
  </si>
  <si>
    <t>Consider ECharts/WebGL for higher-rate plotting.</t>
  </si>
  <si>
    <t>UI-02</t>
  </si>
  <si>
    <t>Artifact preview, not raw JSON only</t>
  </si>
  <si>
    <t>Clicking artifacts should show a visual/data inspector before raw content.</t>
  </si>
  <si>
    <t>Artifact inspector renders signal preview, structured grid, text, or binary map</t>
  </si>
  <si>
    <t>challenge.js</t>
  </si>
  <si>
    <t>User request: artifact click should display waterfall/data UI</t>
  </si>
  <si>
    <t>Add download buttons and profile provenance badges.</t>
  </si>
  <si>
    <t>UI-03</t>
  </si>
  <si>
    <t>Measurement controls</t>
  </si>
  <si>
    <t>Waterfall sections need pause/play, zoom, scrubber, and measurement cursors.</t>
  </si>
  <si>
    <t>Home waterfall and challenge analyser include play/pause, zoom, frame scrubber, and cursor deltas</t>
  </si>
  <si>
    <t>app.js; challenge.js; challenge.html</t>
  </si>
  <si>
    <t>User request: zoom both axes, cursors, pause/play</t>
  </si>
  <si>
    <t>Add draggable cursors and saved measurements.</t>
  </si>
  <si>
    <t>Information Modes</t>
  </si>
  <si>
    <t>MODE-01</t>
  </si>
  <si>
    <t>Raw digital data</t>
  </si>
  <si>
    <t>The CTF must include raw packet/metadata recovery.</t>
  </si>
  <si>
    <t>Tunnel sign, broadcast metadata, city notice, and TLV modules</t>
  </si>
  <si>
    <t>data/challenges.json; tools/telemetry_decoder</t>
  </si>
  <si>
    <t>Planning DOCX: raw digital data transfer</t>
  </si>
  <si>
    <t>Add packet bit-viewer in the workbench.</t>
  </si>
  <si>
    <t>MODE-02</t>
  </si>
  <si>
    <t>Audio communications</t>
  </si>
  <si>
    <t>The CTF must include audio communications and user interaction.</t>
  </si>
  <si>
    <t>Council warning audio net with speech playback, transcript, and message submission</t>
  </si>
  <si>
    <t>challenge.html; challenge.js; server.py</t>
  </si>
  <si>
    <t>Planning DOCX: audio player interface and emergency audio context</t>
  </si>
  <si>
    <t>Replace browser speech synthesis with generated WAV artifacts later.</t>
  </si>
  <si>
    <t>MODE-03</t>
  </si>
  <si>
    <t>Steganographic communications</t>
  </si>
  <si>
    <t>The CTF should leave room for steganographic communications.</t>
  </si>
  <si>
    <t>Planned</t>
  </si>
  <si>
    <t>Homepage information-mode card marks it as a planned extension</t>
  </si>
  <si>
    <t>Planning DOCX: steganographic communications</t>
  </si>
  <si>
    <t>Add hidden symbol/audio-watermark challenge.</t>
  </si>
  <si>
    <t>MODE-04</t>
  </si>
  <si>
    <t>Radar-style signal</t>
  </si>
  <si>
    <t>The CTF should leave room for a basic radar-style or IC&amp;S signal.</t>
  </si>
  <si>
    <t>Homepage information-mode card and expert learning arc</t>
  </si>
  <si>
    <t>Planning DOCX: basic radar-style signal and IC&amp;S expert context</t>
  </si>
  <si>
    <t>Add simple range/Doppler or IC&amp;S grocery scenario.</t>
  </si>
  <si>
    <t>Cyber Track</t>
  </si>
  <si>
    <t>CYBER-01</t>
  </si>
  <si>
    <t>RF-to-backend SQLi bridge</t>
  </si>
  <si>
    <t>Decoded RF values should become backend input in a deliberately vulnerable local endpoint.</t>
  </si>
  <si>
    <t>City Notice API Pivot and vulnerable/safe event endpoints</t>
  </si>
  <si>
    <t>Planning DOCX: technical cyber component and SQLi</t>
  </si>
  <si>
    <t>Add solver notes comparing unsafe SQL to parameterized SQL.</t>
  </si>
  <si>
    <t>CYBER-02</t>
  </si>
  <si>
    <t>Business logic and authorization</t>
  </si>
  <si>
    <t>The CTF should show that SQL-safe systems can still fail authorization or trust telemetry.</t>
  </si>
  <si>
    <t>Controlled interference exercise and secure quote rejection</t>
  </si>
  <si>
    <t>server.py; data/challenges.json</t>
  </si>
  <si>
    <t>Earlier project plan: business logic abuse</t>
  </si>
  <si>
    <t>Add fraud scoring/audit endpoint.</t>
  </si>
  <si>
    <t>CYBER-03</t>
  </si>
  <si>
    <t>RF-origin web trust boundary</t>
  </si>
  <si>
    <t>RF-origin operator text should demonstrate output encoding and unsafe rendering risks.</t>
  </si>
  <si>
    <t>Untrusted Radio Note challenge and Attack/Secure Mode rendering</t>
  </si>
  <si>
    <t>server.py; index.html; challenge.js</t>
  </si>
  <si>
    <t>Earlier project plan: optional XSS if it supports story</t>
  </si>
  <si>
    <t>Clarify it as trust-boundary lesson in report.</t>
  </si>
  <si>
    <t>CYBER-04</t>
  </si>
  <si>
    <t>Reverse engineering</t>
  </si>
  <si>
    <t>Learners should reverse packet/decoder logic as difficulty increases.</t>
  </si>
  <si>
    <t>Telemetry decoder tools and decoder challenge artifacts exist</t>
  </si>
  <si>
    <t>tools/telemetry_decoder; data/challenges.json</t>
  </si>
  <si>
    <t>Planning DOCX: reverse engineer embedded C backends</t>
  </si>
  <si>
    <t>Add stripped binary and hard-mode firmware image.</t>
  </si>
  <si>
    <t>CYBER-05</t>
  </si>
  <si>
    <t>Binary exploitation</t>
  </si>
  <si>
    <t>Advanced modules should include local synthetic parser vulnerabilities and safe comparisons.</t>
  </si>
  <si>
    <t>Farm gate TLV parser fault plus vulnerable/safe parser source</t>
  </si>
  <si>
    <t>tools/tlv_parser; server.py; data/challenges.json</t>
  </si>
  <si>
    <t>Planning DOCX: parser flaw and binary exploit direction</t>
  </si>
  <si>
    <t>Add compiled training binaries and fuzz corpus.</t>
  </si>
  <si>
    <t>Advanced/SOTA</t>
  </si>
  <si>
    <t>SOTA-01</t>
  </si>
  <si>
    <t>Advanced firmware/hardware lane</t>
  </si>
  <si>
    <t>The project should leave room for C/C++, HDL review, secure boot, and device trust.</t>
  </si>
  <si>
    <t>Advanced learning card and developer extension plan</t>
  </si>
  <si>
    <t>index.html#blueprint; docs/developer-extension-plan.md</t>
  </si>
  <si>
    <t>Planning DOCX: HDL/C review and advanced security concepts</t>
  </si>
  <si>
    <t>Implement synthetic firmware manifest and HDL flaw task.</t>
  </si>
  <si>
    <t>SOTA-02</t>
  </si>
  <si>
    <t>Jamming side quest</t>
  </si>
  <si>
    <t>The project should include jamming types, counters, and defensive classification.</t>
  </si>
  <si>
    <t>Controlled interference module and jamming research notes</t>
  </si>
  <si>
    <t>data/challenges.json; server.py; docs/developer-extension-plan.md</t>
  </si>
  <si>
    <t>Planning DOCX: four jamming topics with subtasks</t>
  </si>
  <si>
    <t>Add spot, sweep, barrage, follower, deceptive replay profiles.</t>
  </si>
  <si>
    <t>SOTA-03</t>
  </si>
  <si>
    <t>Propagation and receiver limits</t>
  </si>
  <si>
    <t>Harder levels should include path loss, multipath, Doppler, saturation, and adjacent-channel effects.</t>
  </si>
  <si>
    <t>Research notes and generator source model hooks</t>
  </si>
  <si>
    <t>server.py; radio/profiles/training_signals.json</t>
  </si>
  <si>
    <t>Planning DOCX: radio propagation, jamming, hardware realism</t>
  </si>
  <si>
    <t>Add propagation profile parameters to generator.</t>
  </si>
  <si>
    <t>SOTA-04</t>
  </si>
  <si>
    <t>Integrated communications and sensing</t>
  </si>
  <si>
    <t>Expert levels should introduce IC&amp;S and cognitive-radio concepts.</t>
  </si>
  <si>
    <t>Expert learning card and mode-grid radar-style extension</t>
  </si>
  <si>
    <t>Planning DOCX: IC&amp;S and cognitive radio expert concepts</t>
  </si>
  <si>
    <t>Build Qam grocery-store scenario.</t>
  </si>
  <si>
    <t>Session and Randomisation</t>
  </si>
  <si>
    <t>RAND-01</t>
  </si>
  <si>
    <t>Per-session identity and flags</t>
  </si>
  <si>
    <t>Each learner session should have unique flags and identifiers.</t>
  </si>
  <si>
    <t>Session token generation, session user_data, per-task flag derivation</t>
  </si>
  <si>
    <t>server.py</t>
  </si>
  <si>
    <t>Planning DOCX: regenerated randomisation and unique flags</t>
  </si>
  <si>
    <t>Extend randomisation into generated payload fields.</t>
  </si>
  <si>
    <t>RAND-02</t>
  </si>
  <si>
    <t>Randomized audio intercept</t>
  </si>
  <si>
    <t>Audio challenge data should vary per generated session.</t>
  </si>
  <si>
    <t>Council weather intercept randomizes site, zone, hazard, action, and AUTH code</t>
  </si>
  <si>
    <t>Planning DOCX: regenerated randomisation</t>
  </si>
  <si>
    <t>Persist solved transcript evidence per session.</t>
  </si>
  <si>
    <t>Verification</t>
  </si>
  <si>
    <t>TEST-01</t>
  </si>
  <si>
    <t>JSON validity</t>
  </si>
  <si>
    <t>Core challenge and capture data should validate structurally.</t>
  </si>
  <si>
    <t>Verified</t>
  </si>
  <si>
    <t>JSON validation performed for challenge metadata and generated captures</t>
  </si>
  <si>
    <t>data/challenges.json; captures/*.json</t>
  </si>
  <si>
    <t>Implementation QA</t>
  </si>
  <si>
    <t>Add CI script for JSON/profile validation.</t>
  </si>
  <si>
    <t>TEST-02</t>
  </si>
  <si>
    <t>Generated artifact run</t>
  </si>
  <si>
    <t>The project should regenerate RF artifacts from the generator before delivery.</t>
  </si>
  <si>
    <t>Generator run emitted seven capture JSON files and SigMF preview pairs</t>
  </si>
  <si>
    <t>radio/generate_gnuradio_artifacts.py; captures/</t>
  </si>
  <si>
    <t>Add Makefile/PowerShell task for regeneration.</t>
  </si>
  <si>
    <t>TEST-03</t>
  </si>
  <si>
    <t>Browser smoke test</t>
  </si>
  <si>
    <t>The site should render after structural changes.</t>
  </si>
  <si>
    <t>Home page and council audio challenge loaded with no console errors; artifact preview opened as a canvas with generated provenance</t>
  </si>
  <si>
    <t>localhost:8002</t>
  </si>
  <si>
    <t>Add automated browser smoke tests later.</t>
  </si>
  <si>
    <t>Coverage Summary</t>
  </si>
  <si>
    <t>Total</t>
  </si>
  <si>
    <t>Partial/Planned</t>
  </si>
  <si>
    <t>Verified/Pending</t>
  </si>
  <si>
    <t>Evidence Index</t>
  </si>
  <si>
    <t>Evidence Type</t>
  </si>
  <si>
    <t>Location</t>
  </si>
  <si>
    <t>Notes</t>
  </si>
  <si>
    <t>Planning source</t>
  </si>
  <si>
    <t>COMP6841 Project Planning Further.docx</t>
  </si>
  <si>
    <t>Extracted safety, GNU Radio, information-mode, challenge-ladder, and SOTA requirements.</t>
  </si>
  <si>
    <t>Web shell</t>
  </si>
  <si>
    <t>index.html</t>
  </si>
  <si>
    <t>Safety panel, learning arc, information modes, GNU Radio workflow summary.</t>
  </si>
  <si>
    <t>Challenge metadata</t>
  </si>
  <si>
    <t>data/challenges.json</t>
  </si>
  <si>
    <t>Civilian contexts, context labels, steps, hints, artifacts, and generated-profile wording.</t>
  </si>
  <si>
    <t>RF generator</t>
  </si>
  <si>
    <t>Profile-driven artifact exporter with optional SigMF IQ output.</t>
  </si>
  <si>
    <t>RF profiles</t>
  </si>
  <si>
    <t>Editable source of truth for centre frequency, span, modulation, sources, and metadata.</t>
  </si>
  <si>
    <t>Generated captures</t>
  </si>
  <si>
    <t>captures/*.json</t>
  </si>
  <si>
    <t>Browser waterfall preview artifacts with generated_by and source_profile provenance.</t>
  </si>
  <si>
    <t>SigMF artifacts</t>
  </si>
  <si>
    <t>captures/*.sigmf-meta; captures/*.sigmf-data</t>
  </si>
  <si>
    <t>Downloadable IQ preview files emitted by the generator.</t>
  </si>
  <si>
    <t>Backend</t>
  </si>
  <si>
    <t>Session flags, local endpoints, RF command handling, safe/attack mode, council audio protocol.</t>
  </si>
  <si>
    <t>Challenge UI</t>
  </si>
  <si>
    <t>challenge.html; challenge.js</t>
  </si>
  <si>
    <t>RF workbench, audio intercept UI, terminal, artifact inspector, measurement controls.</t>
  </si>
  <si>
    <t>Tools</t>
  </si>
  <si>
    <t>tools/telemetry_decoder; tools/tlv_parser</t>
  </si>
  <si>
    <t>Local RE/parser challenge assets and safe/vulnerable code paths.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</si>
</sst>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0"/>
      <color rgb="FF0F172A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55E7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4">
    <dxf>
      <font>
        <color rgb="FF991B1B"/>
      </font>
      <fill>
        <patternFill patternType="solid">
          <bgColor rgb="FFFEE2E2"/>
        </patternFill>
      </fill>
    </dxf>
    <dxf>
      <font>
        <color rgb="FF075985"/>
      </font>
      <fill>
        <patternFill patternType="solid">
          <bgColor rgb="FFE0F2FE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4532D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showGridLines="0" tabSelected="1" workbookViewId="0">
      <selection activeCell="A11" sqref="A11"/>
    </sheetView>
  </sheetViews>
  <sheetFormatPr defaultRowHeight="14"/>
  <cols>
    <col min="1" max="1" width="22" customWidth="1"/>
    <col min="2" max="2" width="13" customWidth="1"/>
    <col min="3" max="3" width="28" customWidth="1"/>
    <col min="4" max="4" width="50" customWidth="1"/>
    <col min="5" max="5" width="18" customWidth="1"/>
    <col min="6" max="6" width="36" customWidth="1"/>
    <col min="7" max="7" width="38" customWidth="1"/>
    <col min="8" max="9" width="42" customWidth="1"/>
  </cols>
  <sheetData>
    <row r="1" spans="1:9" ht="20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20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</row>
    <row r="6" spans="1:9" ht="25">
      <c r="A6" s="2" t="s">
        <v>11</v>
      </c>
      <c r="B6" s="2" t="s">
        <v>20</v>
      </c>
      <c r="C6" s="2" t="s">
        <v>21</v>
      </c>
      <c r="D6" s="2" t="s">
        <v>22</v>
      </c>
      <c r="E6" s="2" t="s">
        <v>15</v>
      </c>
      <c r="F6" s="2" t="s">
        <v>23</v>
      </c>
      <c r="G6" s="2" t="s">
        <v>24</v>
      </c>
      <c r="H6" s="2" t="s">
        <v>25</v>
      </c>
      <c r="I6" s="2" t="s">
        <v>26</v>
      </c>
    </row>
    <row r="7" spans="1:9" ht="25">
      <c r="A7" s="2" t="s">
        <v>27</v>
      </c>
      <c r="B7" s="2" t="s">
        <v>28</v>
      </c>
      <c r="C7" s="2" t="s">
        <v>29</v>
      </c>
      <c r="D7" s="2" t="s">
        <v>30</v>
      </c>
      <c r="E7" s="2" t="s">
        <v>15</v>
      </c>
      <c r="F7" s="2" t="s">
        <v>31</v>
      </c>
      <c r="G7" s="2" t="s">
        <v>32</v>
      </c>
      <c r="H7" s="2" t="s">
        <v>33</v>
      </c>
      <c r="I7" s="2" t="s">
        <v>34</v>
      </c>
    </row>
    <row r="8" spans="1:9" ht="25">
      <c r="A8" s="2" t="s">
        <v>27</v>
      </c>
      <c r="B8" s="2" t="s">
        <v>35</v>
      </c>
      <c r="C8" s="2" t="s">
        <v>36</v>
      </c>
      <c r="D8" s="2" t="s">
        <v>37</v>
      </c>
      <c r="E8" s="2" t="s">
        <v>15</v>
      </c>
      <c r="F8" s="2" t="s">
        <v>38</v>
      </c>
      <c r="G8" s="2" t="s">
        <v>39</v>
      </c>
      <c r="H8" s="2" t="s">
        <v>40</v>
      </c>
      <c r="I8" s="2" t="s">
        <v>41</v>
      </c>
    </row>
    <row r="9" spans="1:9" ht="25">
      <c r="A9" s="2" t="s">
        <v>27</v>
      </c>
      <c r="B9" s="2" t="s">
        <v>42</v>
      </c>
      <c r="C9" s="2" t="s">
        <v>43</v>
      </c>
      <c r="D9" s="2" t="s">
        <v>44</v>
      </c>
      <c r="E9" s="2" t="s">
        <v>15</v>
      </c>
      <c r="F9" s="2" t="s">
        <v>45</v>
      </c>
      <c r="G9" s="2" t="s">
        <v>46</v>
      </c>
      <c r="H9" s="2" t="s">
        <v>47</v>
      </c>
      <c r="I9" s="2" t="s">
        <v>48</v>
      </c>
    </row>
    <row r="10" spans="1:9" ht="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15</v>
      </c>
      <c r="F10" s="2" t="s">
        <v>53</v>
      </c>
      <c r="G10" s="2" t="s">
        <v>54</v>
      </c>
      <c r="H10" s="2" t="s">
        <v>55</v>
      </c>
      <c r="I10" s="2" t="s">
        <v>56</v>
      </c>
    </row>
    <row r="11" spans="1:9" ht="25">
      <c r="A11" s="2" t="s">
        <v>49</v>
      </c>
      <c r="B11" s="2" t="s">
        <v>57</v>
      </c>
      <c r="C11" s="2" t="s">
        <v>58</v>
      </c>
      <c r="D11" s="2" t="s">
        <v>59</v>
      </c>
      <c r="E11" s="2" t="s">
        <v>15</v>
      </c>
      <c r="F11" s="2" t="s">
        <v>60</v>
      </c>
      <c r="G11" s="2" t="s">
        <v>61</v>
      </c>
      <c r="H11" s="2" t="s">
        <v>62</v>
      </c>
      <c r="I11" s="2" t="s">
        <v>63</v>
      </c>
    </row>
    <row r="12" spans="1:9" ht="25">
      <c r="A12" s="2" t="s">
        <v>49</v>
      </c>
      <c r="B12" s="2" t="s">
        <v>64</v>
      </c>
      <c r="C12" s="2" t="s">
        <v>65</v>
      </c>
      <c r="D12" s="2" t="s">
        <v>66</v>
      </c>
      <c r="E12" s="2" t="s">
        <v>15</v>
      </c>
      <c r="F12" s="2" t="s">
        <v>67</v>
      </c>
      <c r="G12" s="2" t="s">
        <v>68</v>
      </c>
      <c r="H12" s="2" t="s">
        <v>69</v>
      </c>
      <c r="I12" s="2" t="s">
        <v>70</v>
      </c>
    </row>
    <row r="13" spans="1:9" ht="25">
      <c r="A13" s="2" t="s">
        <v>49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  <c r="H13" s="2" t="s">
        <v>77</v>
      </c>
      <c r="I13" s="2" t="s">
        <v>78</v>
      </c>
    </row>
    <row r="14" spans="1:9" ht="25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15</v>
      </c>
      <c r="F14" s="2" t="s">
        <v>83</v>
      </c>
      <c r="G14" s="2" t="s">
        <v>84</v>
      </c>
      <c r="H14" s="2" t="s">
        <v>85</v>
      </c>
      <c r="I14" s="2" t="s">
        <v>86</v>
      </c>
    </row>
    <row r="15" spans="1:9" ht="25">
      <c r="A15" s="2" t="s">
        <v>79</v>
      </c>
      <c r="B15" s="2" t="s">
        <v>87</v>
      </c>
      <c r="C15" s="2" t="s">
        <v>88</v>
      </c>
      <c r="D15" s="2" t="s">
        <v>89</v>
      </c>
      <c r="E15" s="2" t="s">
        <v>15</v>
      </c>
      <c r="F15" s="2" t="s">
        <v>90</v>
      </c>
      <c r="G15" s="2" t="s">
        <v>91</v>
      </c>
      <c r="H15" s="2" t="s">
        <v>92</v>
      </c>
      <c r="I15" s="2" t="s">
        <v>93</v>
      </c>
    </row>
    <row r="16" spans="1:9" ht="37.5">
      <c r="A16" s="2" t="s">
        <v>79</v>
      </c>
      <c r="B16" s="2" t="s">
        <v>94</v>
      </c>
      <c r="C16" s="2" t="s">
        <v>95</v>
      </c>
      <c r="D16" s="2" t="s">
        <v>96</v>
      </c>
      <c r="E16" s="2" t="s">
        <v>15</v>
      </c>
      <c r="F16" s="2" t="s">
        <v>97</v>
      </c>
      <c r="G16" s="2" t="s">
        <v>98</v>
      </c>
      <c r="H16" s="2" t="s">
        <v>99</v>
      </c>
      <c r="I16" s="2" t="s">
        <v>100</v>
      </c>
    </row>
    <row r="17" spans="1:9" ht="25">
      <c r="A17" s="2" t="s">
        <v>101</v>
      </c>
      <c r="B17" s="2" t="s">
        <v>102</v>
      </c>
      <c r="C17" s="2" t="s">
        <v>103</v>
      </c>
      <c r="D17" s="2" t="s">
        <v>104</v>
      </c>
      <c r="E17" s="2" t="s">
        <v>15</v>
      </c>
      <c r="F17" s="2" t="s">
        <v>105</v>
      </c>
      <c r="G17" s="2" t="s">
        <v>106</v>
      </c>
      <c r="H17" s="2" t="s">
        <v>107</v>
      </c>
      <c r="I17" s="2" t="s">
        <v>108</v>
      </c>
    </row>
    <row r="18" spans="1:9" ht="25">
      <c r="A18" s="2" t="s">
        <v>101</v>
      </c>
      <c r="B18" s="2" t="s">
        <v>109</v>
      </c>
      <c r="C18" s="2" t="s">
        <v>110</v>
      </c>
      <c r="D18" s="2" t="s">
        <v>111</v>
      </c>
      <c r="E18" s="2" t="s">
        <v>15</v>
      </c>
      <c r="F18" s="2" t="s">
        <v>112</v>
      </c>
      <c r="G18" s="2" t="s">
        <v>113</v>
      </c>
      <c r="H18" s="2" t="s">
        <v>114</v>
      </c>
      <c r="I18" s="2" t="s">
        <v>115</v>
      </c>
    </row>
    <row r="19" spans="1:9" ht="25">
      <c r="A19" s="2" t="s">
        <v>101</v>
      </c>
      <c r="B19" s="2" t="s">
        <v>116</v>
      </c>
      <c r="C19" s="2" t="s">
        <v>117</v>
      </c>
      <c r="D19" s="2" t="s">
        <v>118</v>
      </c>
      <c r="E19" s="2" t="s">
        <v>119</v>
      </c>
      <c r="F19" s="2" t="s">
        <v>120</v>
      </c>
      <c r="G19" s="2" t="s">
        <v>32</v>
      </c>
      <c r="H19" s="2" t="s">
        <v>121</v>
      </c>
      <c r="I19" s="2" t="s">
        <v>122</v>
      </c>
    </row>
    <row r="20" spans="1:9" ht="25">
      <c r="A20" s="2" t="s">
        <v>101</v>
      </c>
      <c r="B20" s="2" t="s">
        <v>123</v>
      </c>
      <c r="C20" s="2" t="s">
        <v>124</v>
      </c>
      <c r="D20" s="2" t="s">
        <v>125</v>
      </c>
      <c r="E20" s="2" t="s">
        <v>119</v>
      </c>
      <c r="F20" s="2" t="s">
        <v>126</v>
      </c>
      <c r="G20" s="2" t="s">
        <v>32</v>
      </c>
      <c r="H20" s="2" t="s">
        <v>127</v>
      </c>
      <c r="I20" s="2" t="s">
        <v>128</v>
      </c>
    </row>
    <row r="21" spans="1:9" ht="25">
      <c r="A21" s="2" t="s">
        <v>129</v>
      </c>
      <c r="B21" s="2" t="s">
        <v>130</v>
      </c>
      <c r="C21" s="2" t="s">
        <v>131</v>
      </c>
      <c r="D21" s="2" t="s">
        <v>132</v>
      </c>
      <c r="E21" s="2" t="s">
        <v>15</v>
      </c>
      <c r="F21" s="2" t="s">
        <v>133</v>
      </c>
      <c r="G21" s="2" t="s">
        <v>39</v>
      </c>
      <c r="H21" s="2" t="s">
        <v>134</v>
      </c>
      <c r="I21" s="2" t="s">
        <v>135</v>
      </c>
    </row>
    <row r="22" spans="1:9" ht="25">
      <c r="A22" s="2" t="s">
        <v>129</v>
      </c>
      <c r="B22" s="2" t="s">
        <v>136</v>
      </c>
      <c r="C22" s="2" t="s">
        <v>137</v>
      </c>
      <c r="D22" s="2" t="s">
        <v>138</v>
      </c>
      <c r="E22" s="2" t="s">
        <v>15</v>
      </c>
      <c r="F22" s="2" t="s">
        <v>139</v>
      </c>
      <c r="G22" s="2" t="s">
        <v>140</v>
      </c>
      <c r="H22" s="2" t="s">
        <v>141</v>
      </c>
      <c r="I22" s="2" t="s">
        <v>142</v>
      </c>
    </row>
    <row r="23" spans="1:9" ht="25">
      <c r="A23" s="2" t="s">
        <v>129</v>
      </c>
      <c r="B23" s="2" t="s">
        <v>143</v>
      </c>
      <c r="C23" s="2" t="s">
        <v>144</v>
      </c>
      <c r="D23" s="2" t="s">
        <v>145</v>
      </c>
      <c r="E23" s="2" t="s">
        <v>15</v>
      </c>
      <c r="F23" s="2" t="s">
        <v>146</v>
      </c>
      <c r="G23" s="2" t="s">
        <v>147</v>
      </c>
      <c r="H23" s="2" t="s">
        <v>148</v>
      </c>
      <c r="I23" s="2" t="s">
        <v>149</v>
      </c>
    </row>
    <row r="24" spans="1:9" ht="25">
      <c r="A24" s="2" t="s">
        <v>129</v>
      </c>
      <c r="B24" s="2" t="s">
        <v>150</v>
      </c>
      <c r="C24" s="2" t="s">
        <v>151</v>
      </c>
      <c r="D24" s="2" t="s">
        <v>152</v>
      </c>
      <c r="E24" s="2" t="s">
        <v>74</v>
      </c>
      <c r="F24" s="2" t="s">
        <v>153</v>
      </c>
      <c r="G24" s="2" t="s">
        <v>154</v>
      </c>
      <c r="H24" s="2" t="s">
        <v>155</v>
      </c>
      <c r="I24" s="2" t="s">
        <v>156</v>
      </c>
    </row>
    <row r="25" spans="1:9" ht="25">
      <c r="A25" s="2" t="s">
        <v>129</v>
      </c>
      <c r="B25" s="2" t="s">
        <v>157</v>
      </c>
      <c r="C25" s="2" t="s">
        <v>158</v>
      </c>
      <c r="D25" s="2" t="s">
        <v>159</v>
      </c>
      <c r="E25" s="2" t="s">
        <v>74</v>
      </c>
      <c r="F25" s="2" t="s">
        <v>160</v>
      </c>
      <c r="G25" s="2" t="s">
        <v>161</v>
      </c>
      <c r="H25" s="2" t="s">
        <v>162</v>
      </c>
      <c r="I25" s="2" t="s">
        <v>163</v>
      </c>
    </row>
    <row r="26" spans="1:9" ht="25">
      <c r="A26" s="2" t="s">
        <v>164</v>
      </c>
      <c r="B26" s="2" t="s">
        <v>165</v>
      </c>
      <c r="C26" s="2" t="s">
        <v>166</v>
      </c>
      <c r="D26" s="2" t="s">
        <v>167</v>
      </c>
      <c r="E26" s="2" t="s">
        <v>119</v>
      </c>
      <c r="F26" s="2" t="s">
        <v>168</v>
      </c>
      <c r="G26" s="2" t="s">
        <v>169</v>
      </c>
      <c r="H26" s="2" t="s">
        <v>170</v>
      </c>
      <c r="I26" s="2" t="s">
        <v>171</v>
      </c>
    </row>
    <row r="27" spans="1:9" ht="25">
      <c r="A27" s="2" t="s">
        <v>164</v>
      </c>
      <c r="B27" s="2" t="s">
        <v>172</v>
      </c>
      <c r="C27" s="2" t="s">
        <v>173</v>
      </c>
      <c r="D27" s="2" t="s">
        <v>174</v>
      </c>
      <c r="E27" s="2" t="s">
        <v>74</v>
      </c>
      <c r="F27" s="2" t="s">
        <v>175</v>
      </c>
      <c r="G27" s="2" t="s">
        <v>176</v>
      </c>
      <c r="H27" s="2" t="s">
        <v>177</v>
      </c>
      <c r="I27" s="2" t="s">
        <v>178</v>
      </c>
    </row>
    <row r="28" spans="1:9" ht="25">
      <c r="A28" s="2" t="s">
        <v>164</v>
      </c>
      <c r="B28" s="2" t="s">
        <v>179</v>
      </c>
      <c r="C28" s="2" t="s">
        <v>180</v>
      </c>
      <c r="D28" s="2" t="s">
        <v>181</v>
      </c>
      <c r="E28" s="2" t="s">
        <v>119</v>
      </c>
      <c r="F28" s="2" t="s">
        <v>182</v>
      </c>
      <c r="G28" s="2" t="s">
        <v>183</v>
      </c>
      <c r="H28" s="2" t="s">
        <v>184</v>
      </c>
      <c r="I28" s="2" t="s">
        <v>185</v>
      </c>
    </row>
    <row r="29" spans="1:9" ht="25">
      <c r="A29" s="2" t="s">
        <v>164</v>
      </c>
      <c r="B29" s="2" t="s">
        <v>186</v>
      </c>
      <c r="C29" s="2" t="s">
        <v>187</v>
      </c>
      <c r="D29" s="2" t="s">
        <v>188</v>
      </c>
      <c r="E29" s="2" t="s">
        <v>119</v>
      </c>
      <c r="F29" s="2" t="s">
        <v>189</v>
      </c>
      <c r="G29" s="2" t="s">
        <v>32</v>
      </c>
      <c r="H29" s="2" t="s">
        <v>190</v>
      </c>
      <c r="I29" s="2" t="s">
        <v>191</v>
      </c>
    </row>
    <row r="30" spans="1:9" ht="25">
      <c r="A30" s="2" t="s">
        <v>192</v>
      </c>
      <c r="B30" s="2" t="s">
        <v>193</v>
      </c>
      <c r="C30" s="2" t="s">
        <v>194</v>
      </c>
      <c r="D30" s="2" t="s">
        <v>195</v>
      </c>
      <c r="E30" s="2" t="s">
        <v>15</v>
      </c>
      <c r="F30" s="2" t="s">
        <v>196</v>
      </c>
      <c r="G30" s="2" t="s">
        <v>197</v>
      </c>
      <c r="H30" s="2" t="s">
        <v>198</v>
      </c>
      <c r="I30" s="2" t="s">
        <v>199</v>
      </c>
    </row>
    <row r="31" spans="1:9" ht="25">
      <c r="A31" s="2" t="s">
        <v>192</v>
      </c>
      <c r="B31" s="2" t="s">
        <v>200</v>
      </c>
      <c r="C31" s="2" t="s">
        <v>201</v>
      </c>
      <c r="D31" s="2" t="s">
        <v>202</v>
      </c>
      <c r="E31" s="2" t="s">
        <v>15</v>
      </c>
      <c r="F31" s="2" t="s">
        <v>203</v>
      </c>
      <c r="G31" s="2" t="s">
        <v>197</v>
      </c>
      <c r="H31" s="2" t="s">
        <v>204</v>
      </c>
      <c r="I31" s="2" t="s">
        <v>205</v>
      </c>
    </row>
    <row r="32" spans="1:9" ht="25">
      <c r="A32" s="2" t="s">
        <v>206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  <c r="H32" s="2" t="s">
        <v>213</v>
      </c>
      <c r="I32" s="2" t="s">
        <v>214</v>
      </c>
    </row>
    <row r="33" spans="1:9" ht="25">
      <c r="A33" s="2" t="s">
        <v>206</v>
      </c>
      <c r="B33" s="2" t="s">
        <v>215</v>
      </c>
      <c r="C33" s="2" t="s">
        <v>216</v>
      </c>
      <c r="D33" s="2" t="s">
        <v>217</v>
      </c>
      <c r="E33" s="2" t="s">
        <v>210</v>
      </c>
      <c r="F33" s="2" t="s">
        <v>218</v>
      </c>
      <c r="G33" s="2" t="s">
        <v>219</v>
      </c>
      <c r="H33" s="2" t="s">
        <v>213</v>
      </c>
      <c r="I33" s="2" t="s">
        <v>220</v>
      </c>
    </row>
    <row r="34" spans="1:9" ht="37.5">
      <c r="A34" s="2" t="s">
        <v>206</v>
      </c>
      <c r="B34" s="2" t="s">
        <v>221</v>
      </c>
      <c r="C34" s="2" t="s">
        <v>222</v>
      </c>
      <c r="D34" s="2" t="s">
        <v>223</v>
      </c>
      <c r="E34" s="2" t="s">
        <v>210</v>
      </c>
      <c r="F34" s="2" t="s">
        <v>224</v>
      </c>
      <c r="G34" s="2" t="s">
        <v>225</v>
      </c>
      <c r="H34" s="2" t="s">
        <v>213</v>
      </c>
      <c r="I34" s="2" t="s">
        <v>226</v>
      </c>
    </row>
  </sheetData>
  <mergeCells count="2">
    <mergeCell ref="A1:I1"/>
    <mergeCell ref="A2:I2"/>
  </mergeCells>
  <conditionalFormatting sqref="E5:E34">
    <cfRule type="containsText" dxfId="3" priority="1" operator="containsText" text="Implemented"/>
    <cfRule type="containsText" dxfId="2" priority="3" operator="containsText" text="Partially"/>
    <cfRule type="containsText" dxfId="1" priority="4" operator="containsText" text="Planned"/>
    <cfRule type="containsText" dxfId="0" priority="5" operator="containsText" text="Pending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workbookViewId="0">
      <selection sqref="A1:E1"/>
    </sheetView>
  </sheetViews>
  <sheetFormatPr defaultRowHeight="14"/>
  <cols>
    <col min="1" max="1" width="28" customWidth="1"/>
    <col min="2" max="5" width="16" customWidth="1"/>
  </cols>
  <sheetData>
    <row r="1" spans="1:5" ht="20">
      <c r="A1" s="4" t="s">
        <v>227</v>
      </c>
      <c r="B1" s="4"/>
      <c r="C1" s="4"/>
      <c r="D1" s="4"/>
      <c r="E1" s="4"/>
    </row>
    <row r="3" spans="1:5">
      <c r="A3" s="1" t="s">
        <v>2</v>
      </c>
      <c r="B3" s="1" t="s">
        <v>228</v>
      </c>
      <c r="C3" s="1" t="s">
        <v>15</v>
      </c>
      <c r="D3" s="1" t="s">
        <v>229</v>
      </c>
      <c r="E3" s="1" t="s">
        <v>230</v>
      </c>
    </row>
    <row r="4" spans="1:5">
      <c r="A4" s="2" t="s">
        <v>11</v>
      </c>
      <c r="B4" s="3">
        <f>COUNTIF('Requirements Matrix'!$A$5:$A$34,A4)</f>
        <v>2</v>
      </c>
      <c r="C4" s="3">
        <f>COUNTIFS('Requirements Matrix'!$A$5:$A$34,A4,'Requirements Matrix'!$E$5:$E$34,"Implemented")+COUNTIFS('Requirements Matrix'!$A$5:$A$34,A4,'Requirements Matrix'!$E$5:$E$34,"Verified")</f>
        <v>2</v>
      </c>
      <c r="D4" s="3">
        <f>COUNTIFS('Requirements Matrix'!$A$5:$A$34,A4,'Requirements Matrix'!$E$5:$E$34,"Partially Implemented")+COUNTIFS('Requirements Matrix'!$A$5:$A$34,A4,'Requirements Matrix'!$E$5:$E$34,"Planned")</f>
        <v>0</v>
      </c>
      <c r="E4" s="3">
        <f>COUNTIFS('Requirements Matrix'!$A$5:$A$34,A4,'Requirements Matrix'!$E$5:$E$34,"Pending Final Check")</f>
        <v>0</v>
      </c>
    </row>
    <row r="5" spans="1:5">
      <c r="A5" s="2" t="s">
        <v>27</v>
      </c>
      <c r="B5" s="3">
        <f>COUNTIF('Requirements Matrix'!$A$5:$A$34,A5)</f>
        <v>3</v>
      </c>
      <c r="C5" s="3">
        <f>COUNTIFS('Requirements Matrix'!$A$5:$A$34,A5,'Requirements Matrix'!$E$5:$E$34,"Implemented")+COUNTIFS('Requirements Matrix'!$A$5:$A$34,A5,'Requirements Matrix'!$E$5:$E$34,"Verified")</f>
        <v>3</v>
      </c>
      <c r="D5" s="3">
        <f>COUNTIFS('Requirements Matrix'!$A$5:$A$34,A5,'Requirements Matrix'!$E$5:$E$34,"Partially Implemented")+COUNTIFS('Requirements Matrix'!$A$5:$A$34,A5,'Requirements Matrix'!$E$5:$E$34,"Planned")</f>
        <v>0</v>
      </c>
      <c r="E5" s="3">
        <f>COUNTIFS('Requirements Matrix'!$A$5:$A$34,A5,'Requirements Matrix'!$E$5:$E$34,"Pending Final Check")</f>
        <v>0</v>
      </c>
    </row>
    <row r="6" spans="1:5">
      <c r="A6" s="2" t="s">
        <v>49</v>
      </c>
      <c r="B6" s="3">
        <f>COUNTIF('Requirements Matrix'!$A$5:$A$34,A6)</f>
        <v>4</v>
      </c>
      <c r="C6" s="3">
        <f>COUNTIFS('Requirements Matrix'!$A$5:$A$34,A6,'Requirements Matrix'!$E$5:$E$34,"Implemented")+COUNTIFS('Requirements Matrix'!$A$5:$A$34,A6,'Requirements Matrix'!$E$5:$E$34,"Verified")</f>
        <v>3</v>
      </c>
      <c r="D6" s="3">
        <f>COUNTIFS('Requirements Matrix'!$A$5:$A$34,A6,'Requirements Matrix'!$E$5:$E$34,"Partially Implemented")+COUNTIFS('Requirements Matrix'!$A$5:$A$34,A6,'Requirements Matrix'!$E$5:$E$34,"Planned")</f>
        <v>1</v>
      </c>
      <c r="E6" s="3">
        <f>COUNTIFS('Requirements Matrix'!$A$5:$A$34,A6,'Requirements Matrix'!$E$5:$E$34,"Pending Final Check")</f>
        <v>0</v>
      </c>
    </row>
    <row r="7" spans="1:5">
      <c r="A7" s="2" t="s">
        <v>79</v>
      </c>
      <c r="B7" s="3">
        <f>COUNTIF('Requirements Matrix'!$A$5:$A$34,A7)</f>
        <v>3</v>
      </c>
      <c r="C7" s="3">
        <f>COUNTIFS('Requirements Matrix'!$A$5:$A$34,A7,'Requirements Matrix'!$E$5:$E$34,"Implemented")+COUNTIFS('Requirements Matrix'!$A$5:$A$34,A7,'Requirements Matrix'!$E$5:$E$34,"Verified")</f>
        <v>3</v>
      </c>
      <c r="D7" s="3">
        <f>COUNTIFS('Requirements Matrix'!$A$5:$A$34,A7,'Requirements Matrix'!$E$5:$E$34,"Partially Implemented")+COUNTIFS('Requirements Matrix'!$A$5:$A$34,A7,'Requirements Matrix'!$E$5:$E$34,"Planned")</f>
        <v>0</v>
      </c>
      <c r="E7" s="3">
        <f>COUNTIFS('Requirements Matrix'!$A$5:$A$34,A7,'Requirements Matrix'!$E$5:$E$34,"Pending Final Check")</f>
        <v>0</v>
      </c>
    </row>
    <row r="8" spans="1:5">
      <c r="A8" s="2" t="s">
        <v>101</v>
      </c>
      <c r="B8" s="3">
        <f>COUNTIF('Requirements Matrix'!$A$5:$A$34,A8)</f>
        <v>4</v>
      </c>
      <c r="C8" s="3">
        <f>COUNTIFS('Requirements Matrix'!$A$5:$A$34,A8,'Requirements Matrix'!$E$5:$E$34,"Implemented")+COUNTIFS('Requirements Matrix'!$A$5:$A$34,A8,'Requirements Matrix'!$E$5:$E$34,"Verified")</f>
        <v>2</v>
      </c>
      <c r="D8" s="3">
        <f>COUNTIFS('Requirements Matrix'!$A$5:$A$34,A8,'Requirements Matrix'!$E$5:$E$34,"Partially Implemented")+COUNTIFS('Requirements Matrix'!$A$5:$A$34,A8,'Requirements Matrix'!$E$5:$E$34,"Planned")</f>
        <v>2</v>
      </c>
      <c r="E8" s="3">
        <f>COUNTIFS('Requirements Matrix'!$A$5:$A$34,A8,'Requirements Matrix'!$E$5:$E$34,"Pending Final Check")</f>
        <v>0</v>
      </c>
    </row>
    <row r="9" spans="1:5">
      <c r="A9" s="2" t="s">
        <v>129</v>
      </c>
      <c r="B9" s="3">
        <f>COUNTIF('Requirements Matrix'!$A$5:$A$34,A9)</f>
        <v>5</v>
      </c>
      <c r="C9" s="3">
        <f>COUNTIFS('Requirements Matrix'!$A$5:$A$34,A9,'Requirements Matrix'!$E$5:$E$34,"Implemented")+COUNTIFS('Requirements Matrix'!$A$5:$A$34,A9,'Requirements Matrix'!$E$5:$E$34,"Verified")</f>
        <v>3</v>
      </c>
      <c r="D9" s="3">
        <f>COUNTIFS('Requirements Matrix'!$A$5:$A$34,A9,'Requirements Matrix'!$E$5:$E$34,"Partially Implemented")+COUNTIFS('Requirements Matrix'!$A$5:$A$34,A9,'Requirements Matrix'!$E$5:$E$34,"Planned")</f>
        <v>2</v>
      </c>
      <c r="E9" s="3">
        <f>COUNTIFS('Requirements Matrix'!$A$5:$A$34,A9,'Requirements Matrix'!$E$5:$E$34,"Pending Final Check")</f>
        <v>0</v>
      </c>
    </row>
    <row r="10" spans="1:5">
      <c r="A10" s="2" t="s">
        <v>164</v>
      </c>
      <c r="B10" s="3">
        <f>COUNTIF('Requirements Matrix'!$A$5:$A$34,A10)</f>
        <v>4</v>
      </c>
      <c r="C10" s="3">
        <f>COUNTIFS('Requirements Matrix'!$A$5:$A$34,A10,'Requirements Matrix'!$E$5:$E$34,"Implemented")+COUNTIFS('Requirements Matrix'!$A$5:$A$34,A10,'Requirements Matrix'!$E$5:$E$34,"Verified")</f>
        <v>0</v>
      </c>
      <c r="D10" s="3">
        <f>COUNTIFS('Requirements Matrix'!$A$5:$A$34,A10,'Requirements Matrix'!$E$5:$E$34,"Partially Implemented")+COUNTIFS('Requirements Matrix'!$A$5:$A$34,A10,'Requirements Matrix'!$E$5:$E$34,"Planned")</f>
        <v>4</v>
      </c>
      <c r="E10" s="3">
        <f>COUNTIFS('Requirements Matrix'!$A$5:$A$34,A10,'Requirements Matrix'!$E$5:$E$34,"Pending Final Check")</f>
        <v>0</v>
      </c>
    </row>
    <row r="11" spans="1:5">
      <c r="A11" s="2" t="s">
        <v>192</v>
      </c>
      <c r="B11" s="3">
        <f>COUNTIF('Requirements Matrix'!$A$5:$A$34,A11)</f>
        <v>2</v>
      </c>
      <c r="C11" s="3">
        <f>COUNTIFS('Requirements Matrix'!$A$5:$A$34,A11,'Requirements Matrix'!$E$5:$E$34,"Implemented")+COUNTIFS('Requirements Matrix'!$A$5:$A$34,A11,'Requirements Matrix'!$E$5:$E$34,"Verified")</f>
        <v>2</v>
      </c>
      <c r="D11" s="3">
        <f>COUNTIFS('Requirements Matrix'!$A$5:$A$34,A11,'Requirements Matrix'!$E$5:$E$34,"Partially Implemented")+COUNTIFS('Requirements Matrix'!$A$5:$A$34,A11,'Requirements Matrix'!$E$5:$E$34,"Planned")</f>
        <v>0</v>
      </c>
      <c r="E11" s="3">
        <f>COUNTIFS('Requirements Matrix'!$A$5:$A$34,A11,'Requirements Matrix'!$E$5:$E$34,"Pending Final Check")</f>
        <v>0</v>
      </c>
    </row>
    <row r="12" spans="1:5">
      <c r="A12" s="2" t="s">
        <v>206</v>
      </c>
      <c r="B12" s="3">
        <f>COUNTIF('Requirements Matrix'!$A$5:$A$34,A12)</f>
        <v>3</v>
      </c>
      <c r="C12" s="3">
        <f>COUNTIFS('Requirements Matrix'!$A$5:$A$34,A12,'Requirements Matrix'!$E$5:$E$34,"Implemented")+COUNTIFS('Requirements Matrix'!$A$5:$A$34,A12,'Requirements Matrix'!$E$5:$E$34,"Verified")</f>
        <v>3</v>
      </c>
      <c r="D12" s="3">
        <f>COUNTIFS('Requirements Matrix'!$A$5:$A$34,A12,'Requirements Matrix'!$E$5:$E$34,"Partially Implemented")+COUNTIFS('Requirements Matrix'!$A$5:$A$34,A12,'Requirements Matrix'!$E$5:$E$34,"Planned")</f>
        <v>0</v>
      </c>
      <c r="E12" s="3">
        <f>COUNTIFS('Requirements Matrix'!$A$5:$A$34,A12,'Requirements Matrix'!$E$5:$E$34,"Pending Final Check")</f>
        <v>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showGridLines="0" workbookViewId="0">
      <selection sqref="A1:C1"/>
    </sheetView>
  </sheetViews>
  <sheetFormatPr defaultRowHeight="14"/>
  <cols>
    <col min="1" max="1" width="24" customWidth="1"/>
    <col min="2" max="2" width="46" customWidth="1"/>
    <col min="3" max="3" width="72" customWidth="1"/>
  </cols>
  <sheetData>
    <row r="1" spans="1:3" ht="20">
      <c r="A1" s="4" t="s">
        <v>231</v>
      </c>
      <c r="B1" s="4"/>
      <c r="C1" s="4"/>
    </row>
    <row r="3" spans="1:3">
      <c r="A3" s="1" t="s">
        <v>232</v>
      </c>
      <c r="B3" s="1" t="s">
        <v>233</v>
      </c>
      <c r="C3" s="1" t="s">
        <v>234</v>
      </c>
    </row>
    <row r="4" spans="1:3">
      <c r="A4" s="2" t="s">
        <v>235</v>
      </c>
      <c r="B4" s="2" t="s">
        <v>236</v>
      </c>
      <c r="C4" s="2" t="s">
        <v>237</v>
      </c>
    </row>
    <row r="5" spans="1:3">
      <c r="A5" s="2" t="s">
        <v>238</v>
      </c>
      <c r="B5" s="2" t="s">
        <v>239</v>
      </c>
      <c r="C5" s="2" t="s">
        <v>240</v>
      </c>
    </row>
    <row r="6" spans="1:3">
      <c r="A6" s="2" t="s">
        <v>241</v>
      </c>
      <c r="B6" s="2" t="s">
        <v>242</v>
      </c>
      <c r="C6" s="2" t="s">
        <v>243</v>
      </c>
    </row>
    <row r="7" spans="1:3">
      <c r="A7" s="2" t="s">
        <v>244</v>
      </c>
      <c r="B7" s="2" t="s">
        <v>61</v>
      </c>
      <c r="C7" s="2" t="s">
        <v>245</v>
      </c>
    </row>
    <row r="8" spans="1:3">
      <c r="A8" s="2" t="s">
        <v>246</v>
      </c>
      <c r="B8" s="2" t="s">
        <v>54</v>
      </c>
      <c r="C8" s="2" t="s">
        <v>247</v>
      </c>
    </row>
    <row r="9" spans="1:3">
      <c r="A9" s="2" t="s">
        <v>248</v>
      </c>
      <c r="B9" s="2" t="s">
        <v>249</v>
      </c>
      <c r="C9" s="2" t="s">
        <v>250</v>
      </c>
    </row>
    <row r="10" spans="1:3">
      <c r="A10" s="2" t="s">
        <v>251</v>
      </c>
      <c r="B10" s="2" t="s">
        <v>252</v>
      </c>
      <c r="C10" s="2" t="s">
        <v>253</v>
      </c>
    </row>
    <row r="11" spans="1:3">
      <c r="A11" s="2" t="s">
        <v>254</v>
      </c>
      <c r="B11" s="2" t="s">
        <v>197</v>
      </c>
      <c r="C11" s="2" t="s">
        <v>255</v>
      </c>
    </row>
    <row r="12" spans="1:3">
      <c r="A12" s="2" t="s">
        <v>256</v>
      </c>
      <c r="B12" s="2" t="s">
        <v>257</v>
      </c>
      <c r="C12" s="2" t="s">
        <v>258</v>
      </c>
    </row>
    <row r="13" spans="1:3">
      <c r="A13" s="2" t="s">
        <v>259</v>
      </c>
      <c r="B13" s="2" t="s">
        <v>260</v>
      </c>
      <c r="C13" s="2" t="s">
        <v>261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 Matrix</vt:lpstr>
      <vt:lpstr>Coverage Summary</vt:lpstr>
      <vt:lpstr>Evidence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A. Gosman</cp:lastModifiedBy>
  <dcterms:modified xsi:type="dcterms:W3CDTF">2026-07-15T05:22:30Z</dcterms:modified>
</cp:coreProperties>
</file>